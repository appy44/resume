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Cost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t="inlineStr">
        <is>
          <t>Value</t>
        </is>
      </c>
    </row>
    <row r="2">
      <c r="A2" t="inlineStr">
        <is>
          <t>Applications</t>
        </is>
      </c>
      <c r="B2" t="n">
        <v>100</v>
      </c>
    </row>
    <row r="3">
      <c r="A3" t="inlineStr">
        <is>
          <t>Servers Per App</t>
        </is>
      </c>
      <c r="B3" t="n">
        <v>2</v>
      </c>
    </row>
    <row r="4">
      <c r="A4" t="inlineStr">
        <is>
          <t>Polling Interval Seconds</t>
        </is>
      </c>
      <c r="B4" t="n">
        <v>120</v>
      </c>
    </row>
    <row r="5">
      <c r="A5" t="inlineStr">
        <is>
          <t>Flag Updates Per Day</t>
        </is>
      </c>
      <c r="B5" t="n">
        <v>20</v>
      </c>
    </row>
    <row r="6">
      <c r="A6" t="inlineStr">
        <is>
          <t>Admin Reads Per Month</t>
        </is>
      </c>
      <c r="B6" t="n">
        <v>10000</v>
      </c>
    </row>
    <row r="7">
      <c r="A7" t="inlineStr">
        <is>
          <t>Runtime Reads Per Month</t>
        </is>
      </c>
      <c r="B7" t="n">
        <v>1000000</v>
      </c>
    </row>
    <row r="8">
      <c r="A8" t="inlineStr">
        <is>
          <t>AppConfig Free Requests</t>
        </is>
      </c>
      <c r="B8" t="n">
        <v>1000000</v>
      </c>
    </row>
    <row r="9">
      <c r="A9" t="inlineStr">
        <is>
          <t>API Gateway Free Requests</t>
        </is>
      </c>
      <c r="B9" t="n">
        <v>1000000</v>
      </c>
    </row>
    <row r="10">
      <c r="A10" t="inlineStr">
        <is>
          <t>Lambda Free Invocations</t>
        </is>
      </c>
      <c r="B10" t="n">
        <v>1000000</v>
      </c>
    </row>
    <row r="11">
      <c r="A11" t="inlineStr">
        <is>
          <t>CloudFront Free Requests</t>
        </is>
      </c>
      <c r="B11" t="n">
        <v>10000000</v>
      </c>
    </row>
    <row r="12">
      <c r="A12" t="inlineStr">
        <is>
          <t>AppConfig Cost per 1M</t>
        </is>
      </c>
      <c r="B12" t="n">
        <v>1</v>
      </c>
    </row>
    <row r="13">
      <c r="A13" t="inlineStr">
        <is>
          <t>API Gateway Cost per 1M</t>
        </is>
      </c>
      <c r="B13" t="n">
        <v>1</v>
      </c>
    </row>
    <row r="14">
      <c r="A14" t="inlineStr">
        <is>
          <t>Lambda Cost per 1M</t>
        </is>
      </c>
      <c r="B14" t="n">
        <v>0.2</v>
      </c>
    </row>
    <row r="15">
      <c r="A15" t="inlineStr">
        <is>
          <t>CloudFront Cost per 1M</t>
        </is>
      </c>
      <c r="B15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SDK Instances</t>
        </is>
      </c>
      <c r="B2">
        <f>Inputs!B2*Inputs!B3</f>
        <v/>
      </c>
    </row>
    <row r="3">
      <c r="A3" t="inlineStr">
        <is>
          <t>Requests Per Instance/Month</t>
        </is>
      </c>
      <c r="B3">
        <f>2592000/Inputs!B4</f>
        <v/>
      </c>
    </row>
    <row r="4">
      <c r="A4" t="inlineStr">
        <is>
          <t>Total Poll Requests</t>
        </is>
      </c>
      <c r="B4">
        <f>B2*B3</f>
        <v/>
      </c>
    </row>
    <row r="5">
      <c r="A5" t="inlineStr">
        <is>
          <t>Updates Per Month</t>
        </is>
      </c>
      <c r="B5">
        <f>Inputs!B5*30</f>
        <v/>
      </c>
    </row>
    <row r="6">
      <c r="A6" t="inlineStr">
        <is>
          <t>CDN AppConfig Reads</t>
        </is>
      </c>
      <c r="B6">
        <f>B4</f>
        <v/>
      </c>
    </row>
    <row r="7">
      <c r="A7" t="inlineStr">
        <is>
          <t>API AppConfig Reads</t>
        </is>
      </c>
      <c r="B7">
        <f>B3+Inputs!B6</f>
        <v/>
      </c>
    </row>
    <row r="8">
      <c r="A8" t="inlineStr">
        <is>
          <t>CDN CloudFront Requests</t>
        </is>
      </c>
      <c r="B8">
        <f>B3</f>
        <v/>
      </c>
    </row>
    <row r="9">
      <c r="A9" t="inlineStr">
        <is>
          <t>API Gateway Requests</t>
        </is>
      </c>
      <c r="B9">
        <f>B3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CDN Mode</t>
        </is>
      </c>
      <c r="C1" s="1" t="inlineStr">
        <is>
          <t>API Mode</t>
        </is>
      </c>
      <c r="D1" s="1" t="inlineStr">
        <is>
          <t>Cross Account</t>
        </is>
      </c>
    </row>
    <row r="2">
      <c r="A2" t="inlineStr">
        <is>
          <t>AppConfig Requests</t>
        </is>
      </c>
      <c r="B2">
        <f>Calculations!B5</f>
        <v/>
      </c>
      <c r="C2">
        <f>Calculations!B6</f>
        <v/>
      </c>
      <c r="D2" t="inlineStr">
        <is>
          <t>Managed by Extension</t>
        </is>
      </c>
    </row>
    <row r="3">
      <c r="A3" t="inlineStr">
        <is>
          <t>Billable AppConfig</t>
        </is>
      </c>
      <c r="B3">
        <f>MAX(0,B2-Inputs!B8)</f>
        <v/>
      </c>
      <c r="C3">
        <f>MAX(0,C2-Inputs!B8)</f>
        <v/>
      </c>
      <c r="D3" t="inlineStr">
        <is>
          <t>Usually 0</t>
        </is>
      </c>
    </row>
    <row r="4">
      <c r="A4" t="inlineStr">
        <is>
          <t>AppConfig Cost</t>
        </is>
      </c>
      <c r="B4">
        <f>(B3/1000000)*Inputs!B12</f>
        <v/>
      </c>
      <c r="C4">
        <f>(C3/1000000)*Inputs!B12</f>
        <v/>
      </c>
      <c r="D4" t="inlineStr">
        <is>
          <t>Low</t>
        </is>
      </c>
    </row>
    <row r="5">
      <c r="A5" t="inlineStr">
        <is>
          <t>API Gateway Requests</t>
        </is>
      </c>
      <c r="B5" t="inlineStr">
        <is>
          <t>0</t>
        </is>
      </c>
      <c r="C5">
        <f>Calculations!B8</f>
        <v/>
      </c>
      <c r="D5" t="inlineStr">
        <is>
          <t>0</t>
        </is>
      </c>
    </row>
    <row r="6">
      <c r="A6" t="inlineStr">
        <is>
          <t>API Gateway Cost</t>
        </is>
      </c>
      <c r="B6" t="inlineStr">
        <is>
          <t>0</t>
        </is>
      </c>
      <c r="C6">
        <f>MAX(0,C5-Inputs!B9)/1000000*Inputs!B13</f>
        <v/>
      </c>
      <c r="D6" t="inlineStr">
        <is>
          <t>0</t>
        </is>
      </c>
    </row>
    <row r="7">
      <c r="A7" t="inlineStr">
        <is>
          <t>Lambda Invocations</t>
        </is>
      </c>
      <c r="B7">
        <f>Calculations!B4</f>
        <v/>
      </c>
      <c r="C7">
        <f>Calculations!B8</f>
        <v/>
      </c>
      <c r="D7" t="inlineStr">
        <is>
          <t>Existing</t>
        </is>
      </c>
    </row>
    <row r="8">
      <c r="A8" t="inlineStr">
        <is>
          <t>Lambda Cost</t>
        </is>
      </c>
      <c r="B8">
        <f>MAX(0,B7-Inputs!B10)/1000000*Inputs!B14</f>
        <v/>
      </c>
      <c r="C8">
        <f>MAX(0,C7-Inputs!B10)/1000000*Inputs!B14</f>
        <v/>
      </c>
      <c r="D8" t="inlineStr">
        <is>
          <t>0</t>
        </is>
      </c>
    </row>
    <row r="9">
      <c r="A9" t="inlineStr">
        <is>
          <t>CloudFront Requests</t>
        </is>
      </c>
      <c r="B9">
        <f>Calculations!B7</f>
        <v/>
      </c>
      <c r="C9" t="inlineStr">
        <is>
          <t>0</t>
        </is>
      </c>
      <c r="D9" t="inlineStr">
        <is>
          <t>0</t>
        </is>
      </c>
    </row>
    <row r="10">
      <c r="A10" t="inlineStr">
        <is>
          <t>CloudFront Cost</t>
        </is>
      </c>
      <c r="B10">
        <f>MAX(0,B9-Inputs!B11)/1000000*Inputs!B15</f>
        <v/>
      </c>
      <c r="C10" t="inlineStr">
        <is>
          <t>0</t>
        </is>
      </c>
      <c r="D10" t="inlineStr">
        <is>
          <t>0</t>
        </is>
      </c>
    </row>
    <row r="11">
      <c r="A11" t="inlineStr">
        <is>
          <t>Estimated Monthly Cost</t>
        </is>
      </c>
      <c r="B11">
        <f>SUM(B4,B6,B8,B10)</f>
        <v/>
      </c>
      <c r="C11">
        <f>SUM(C4,C6,C8,C10)</f>
        <v/>
      </c>
      <c r="D11" t="inlineStr">
        <is>
          <t>Minimal</t>
        </is>
      </c>
    </row>
    <row r="12">
      <c r="A12" t="inlineStr">
        <is>
          <t>Estimated Annual Cost</t>
        </is>
      </c>
      <c r="B12">
        <f>B11*12</f>
        <v/>
      </c>
      <c r="C12">
        <f>C11*12</f>
        <v/>
      </c>
      <c r="D12" t="inlineStr">
        <is>
          <t>Minimal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2026-06-16T03:16:43Z</dcterms:created>
  <dcterms:modified xmlns:dcterms="http://purl.org/dc/terms/" xmlns:xsi="http://www.w3.org/2001/XMLSchema-instance" xsi:type="dcterms:W3CDTF">2026-06-16T03:16:43Z</dcterms:modified>
</cp:coreProperties>
</file>